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188d4a08c42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ightLog" sheetId="1" r:id="R82e2335b0fc14125"/>
    <x:sheet xmlns:r="http://schemas.openxmlformats.org/officeDocument/2006/relationships" name="Summary" sheetId="2" r:id="Rfab21782391d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86581a8284490" /><Relationship Type="http://schemas.openxmlformats.org/officeDocument/2006/relationships/theme" Target="/xl/theme/theme1.xml" Id="R2d6d2963630e4fe1" /><Relationship Type="http://schemas.openxmlformats.org/officeDocument/2006/relationships/sharedStrings" Target="/xl/sharedStrings.xml" Id="R0608d50d303845fb" /><Relationship Type="http://schemas.openxmlformats.org/officeDocument/2006/relationships/worksheet" Target="/xl/worksheets/sheet1.xml" Id="R82e2335b0fc14125" /><Relationship Type="http://schemas.openxmlformats.org/officeDocument/2006/relationships/worksheet" Target="/xl/worksheets/sheet2.xml" Id="Rfab21782391d4a5d" /></Relationships>
</file>

<file path=xl/tables/table1.xml><?xml version="1.0" encoding="utf-8"?>
<x:table xmlns:x="http://schemas.openxmlformats.org/spreadsheetml/2006/main" id="1" name="FlightLogTable" displayName="FlightLogTable" ref="A1:AI200" headerRowCount="1">
  <x:tableColumns count="35">
    <x:tableColumn id="1" name="id"/>
    <x:tableColumn id="2" name="owner"/>
    <x:tableColumn id="3" name="flight_iata"/>
    <x:tableColumn id="4" name="flight_date"/>
    <x:tableColumn id="5" name="airline_iata"/>
    <x:tableColumn id="6" name="airline_icao"/>
    <x:tableColumn id="7" name="flight_number"/>
    <x:tableColumn id="8" name="flight_icao"/>
    <x:tableColumn id="9" name="dep_iata"/>
    <x:tableColumn id="10" name="dep_icao"/>
    <x:tableColumn id="11" name="dep_lat"/>
    <x:tableColumn id="12" name="dep_lng"/>
    <x:tableColumn id="13" name="arr_iata"/>
    <x:tableColumn id="14" name="arr_icao"/>
    <x:tableColumn id="15" name="arr_lat"/>
    <x:tableColumn id="16" name="arr_lng"/>
    <x:tableColumn id="17" name="dep_scheduled"/>
    <x:tableColumn id="18" name="dep_estimated"/>
    <x:tableColumn id="19" name="dep_actual"/>
    <x:tableColumn id="20" name="arr_scheduled"/>
    <x:tableColumn id="21" name="arr_estimated"/>
    <x:tableColumn id="22" name="arr_actual"/>
    <x:tableColumn id="23" name="duration_min"/>
    <x:tableColumn id="24" name="dep_delay_min"/>
    <x:tableColumn id="25" name="arr_delay_min"/>
    <x:tableColumn id="26" name="distance_km"/>
    <x:tableColumn id="27" name="aircraft_icao"/>
    <x:tableColumn id="28" name="aircraft_model"/>
    <x:tableColumn id="29" name="manufacturer"/>
    <x:tableColumn id="30" name="registration"/>
    <x:tableColumn id="31" name="status"/>
    <x:tableColumn id="32" name="source"/>
    <x:tableColumn id="33" name="fetched_at"/>
    <x:tableColumn id="34" name="notes"/>
    <x:tableColumn id="35" name="raw_j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ad44330e624ff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2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24" hidden="0" customWidth="1"/>
    <x:col min="35" max="35" width="24" hidden="0" customWidth="1"/>
  </x:cols>
  <x:sheetData>
    <x:row r="1">
      <x:c r="A1" s="5" t="str">
        <x:v>id</x:v>
      </x:c>
      <x:c r="B1" s="5" t="str">
        <x:v>owner</x:v>
      </x:c>
      <x:c r="C1" s="5" t="str">
        <x:v>flight_iata</x:v>
      </x:c>
      <x:c r="D1" s="5" t="str">
        <x:v>flight_date</x:v>
      </x:c>
      <x:c r="E1" s="5" t="str">
        <x:v>airline_iata</x:v>
      </x:c>
      <x:c r="F1" s="5" t="str">
        <x:v>airline_icao</x:v>
      </x:c>
      <x:c r="G1" s="5" t="str">
        <x:v>flight_number</x:v>
      </x:c>
      <x:c r="H1" s="5" t="str">
        <x:v>flight_icao</x:v>
      </x:c>
      <x:c r="I1" s="5" t="str">
        <x:v>dep_iata</x:v>
      </x:c>
      <x:c r="J1" s="5" t="str">
        <x:v>dep_icao</x:v>
      </x:c>
      <x:c r="K1" s="5" t="str">
        <x:v>dep_lat</x:v>
      </x:c>
      <x:c r="L1" s="5" t="str">
        <x:v>dep_lng</x:v>
      </x:c>
      <x:c r="M1" s="5" t="str">
        <x:v>arr_iata</x:v>
      </x:c>
      <x:c r="N1" s="5" t="str">
        <x:v>arr_icao</x:v>
      </x:c>
      <x:c r="O1" s="5" t="str">
        <x:v>arr_lat</x:v>
      </x:c>
      <x:c r="P1" s="5" t="str">
        <x:v>arr_lng</x:v>
      </x:c>
      <x:c r="Q1" s="5" t="str">
        <x:v>dep_scheduled</x:v>
      </x:c>
      <x:c r="R1" s="5" t="str">
        <x:v>dep_estimated</x:v>
      </x:c>
      <x:c r="S1" s="5" t="str">
        <x:v>dep_actual</x:v>
      </x:c>
      <x:c r="T1" s="5" t="str">
        <x:v>arr_scheduled</x:v>
      </x:c>
      <x:c r="U1" s="5" t="str">
        <x:v>arr_estimated</x:v>
      </x:c>
      <x:c r="V1" s="5" t="str">
        <x:v>arr_actual</x:v>
      </x:c>
      <x:c r="W1" s="5" t="str">
        <x:v>duration_min</x:v>
      </x:c>
      <x:c r="X1" s="5" t="str">
        <x:v>dep_delay_min</x:v>
      </x:c>
      <x:c r="Y1" s="5" t="str">
        <x:v>arr_delay_min</x:v>
      </x:c>
      <x:c r="Z1" s="5" t="str">
        <x:v>distance_km</x:v>
      </x:c>
      <x:c r="AA1" s="5" t="str">
        <x:v>aircraft_icao</x:v>
      </x:c>
      <x:c r="AB1" s="5" t="str">
        <x:v>aircraft_model</x:v>
      </x:c>
      <x:c r="AC1" s="5" t="str">
        <x:v>manufacturer</x:v>
      </x:c>
      <x:c r="AD1" s="5" t="str">
        <x:v>registration</x:v>
      </x:c>
      <x:c r="AE1" s="5" t="str">
        <x:v>status</x:v>
      </x:c>
      <x:c r="AF1" s="5" t="str">
        <x:v>source</x:v>
      </x:c>
      <x:c r="AG1" s="5" t="str">
        <x:v>fetched_at</x:v>
      </x:c>
      <x:c r="AH1" s="5" t="str">
        <x:v>notes</x:v>
      </x:c>
      <x:c r="AI1" s="5" t="str">
        <x:v>raw_json</x:v>
      </x:c>
    </x:row>
    <x:row r="2">
      <x:c r="A2" t="str">
        <x:v>example-1</x:v>
      </x:c>
      <x:c r="B2" t="str">
        <x:v>Moritz</x:v>
      </x:c>
      <x:c r="C2" t="str">
        <x:v>OS89</x:v>
      </x:c>
      <x:c r="D2" t="str">
        <x:v>2026-07-05</x:v>
      </x:c>
      <x:c r="E2" t="str">
        <x:v>OS</x:v>
      </x:c>
      <x:c r="F2" t="str">
        <x:v>AUA</x:v>
      </x:c>
      <x:c r="G2" t="str">
        <x:v>89</x:v>
      </x:c>
      <x:c r="H2" t="str">
        <x:v>AUA89</x:v>
      </x:c>
      <x:c r="I2" t="str">
        <x:v>VIE</x:v>
      </x:c>
      <x:c r="J2" t="str">
        <x:v>LOWW</x:v>
      </x:c>
      <x:c r="K2" t="n">
        <x:v>48.1103</x:v>
      </x:c>
      <x:c r="L2" t="n">
        <x:v>16.5697</x:v>
      </x:c>
      <x:c r="M2" t="str">
        <x:v>EWR</x:v>
      </x:c>
      <x:c r="N2" t="str">
        <x:v>KEWR</x:v>
      </x:c>
      <x:c r="O2" t="n">
        <x:v>40.6895</x:v>
      </x:c>
      <x:c r="P2" t="n">
        <x:v>-74.1745</x:v>
      </x:c>
      <x:c r="Q2" t="str">
        <x:v>2026-07-05 10:40</x:v>
      </x:c>
      <x:c r="R2" t="str"/>
      <x:c r="S2" t="str">
        <x:v>2026-07-05 11:05</x:v>
      </x:c>
      <x:c r="T2" t="str">
        <x:v>2026-07-05 14:20</x:v>
      </x:c>
      <x:c r="U2" t="str"/>
      <x:c r="V2" t="str">
        <x:v>2026-07-05 14:40</x:v>
      </x:c>
      <x:c r="W2" t="n">
        <x:v>540</x:v>
      </x:c>
      <x:c r="X2" t="n">
        <x:v>25</x:v>
      </x:c>
      <x:c r="Y2" t="n">
        <x:v>20</x:v>
      </x:c>
      <x:c r="Z2" t="n">
        <x:v>6810</x:v>
      </x:c>
      <x:c r="AA2" t="str">
        <x:v>B772</x:v>
      </x:c>
      <x:c r="AB2" t="str">
        <x:v>Boeing 777-200ER</x:v>
      </x:c>
      <x:c r="AC2" t="str">
        <x:v>Boeing</x:v>
      </x:c>
      <x:c r="AD2" t="str">
        <x:v>OE-LPA</x:v>
      </x:c>
      <x:c r="AE2" t="str">
        <x:v>landed</x:v>
      </x:c>
      <x:c r="AF2" t="str">
        <x:v>manual/demo</x:v>
      </x:c>
      <x:c r="AG2" t="n">
        <x:v>46208.791666666664</x:v>
      </x:c>
      <x:c r="AH2" t="str">
        <x:v>Demo-Zeile löschen</x:v>
      </x:c>
      <x:c r="AI2" t="str">
        <x:v>{}</x:v>
      </x:c>
    </x:row>
  </x:sheetData>
  <x:pageMargins left="0.7" right="0.7" top="0.75" bottom="0.75" header="0.3" footer="0.3"/>
  <x:tableParts count="1">
    <x:tablePart xmlns:r="http://schemas.openxmlformats.org/officeDocument/2006/relationships" r:id="Rc1ad44330e624f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5.630000114440918" hidden="0" customWidth="1"/>
    <x:col min="3" max="3" width="4.380000114440918" hidden="0" customWidth="1"/>
    <x:col min="4" max="4" width="5.75" hidden="0" customWidth="1"/>
  </x:cols>
  <x:sheetData>
    <x:row r="1" ht="28" customHeight="1">
      <x:c r="A1" s="12" t="str">
        <x:v>Flight Duel — Summary</x:v>
      </x:c>
    </x:row>
    <x:row r="3">
      <x:c r="A3" s="18" t="str">
        <x:v>Metric</x:v>
      </x:c>
      <x:c r="B3" s="18" t="str">
        <x:v>Moritz</x:v>
      </x:c>
      <x:c r="C3" s="18" t="str">
        <x:v>Farid</x:v>
      </x:c>
      <x:c r="D3" s="18" t="str">
        <x:v>Leader</x:v>
      </x:c>
    </x:row>
    <x:row r="4">
      <x:c r="A4" t="str">
        <x:v>Flights</x:v>
      </x:c>
      <x:c r="B4" s="22" t="n">
        <x:f>COUNTIF(FlightLog!B:B,"Moritz")</x:f>
        <x:v>1</x:v>
      </x:c>
      <x:c r="C4" s="22" t="n">
        <x:f>COUNTIF(FlightLog!B:B,"Farid")</x:f>
        <x:v>0</x:v>
      </x:c>
      <x:c r="D4" t="str">
        <x:f>IF(B4=C4,"Tie",IF(B4&gt;C4,"Moritz","Farid"))</x:f>
        <x:v>Moritz</x:v>
      </x:c>
    </x:row>
    <x:row r="5">
      <x:c r="A5" t="str">
        <x:v>Total km</x:v>
      </x:c>
      <x:c r="B5" s="22" t="n">
        <x:f>SUMIF(FlightLog!B:B,"Moritz",FlightLog!Z:Z)</x:f>
        <x:v>6810</x:v>
      </x:c>
      <x:c r="C5" s="22" t="n">
        <x:f>SUMIF(FlightLog!B:B,"Farid",FlightLog!Z:Z)</x:f>
        <x:v>0</x:v>
      </x:c>
      <x:c r="D5" t="str">
        <x:f>IF(B5=C5,"Tie",IF(B5&gt;C5,"Moritz","Farid"))</x:f>
        <x:v>Moritz</x:v>
      </x:c>
    </x:row>
    <x:row r="6">
      <x:c r="A6" t="str">
        <x:v>Total delay min</x:v>
      </x:c>
      <x:c r="B6" s="22" t="n">
        <x:f>SUMIF(FlightLog!B:B,"Moritz",FlightLog!Y:Y)</x:f>
        <x:v>20</x:v>
      </x:c>
      <x:c r="C6" s="22" t="n">
        <x:f>SUMIF(FlightLog!B:B,"Farid",FlightLog!Y:Y)</x:f>
        <x:v>0</x:v>
      </x:c>
      <x:c r="D6" t="str">
        <x:f>IF(B6=C6,"Tie",IF(B6&gt;C6,"Moritz","Farid"))</x:f>
        <x:v>Moritz</x:v>
      </x:c>
    </x:row>
    <x:row r="7">
      <x:c r="A7" t="str">
        <x:v>Avg duration min</x:v>
      </x:c>
      <x:c r="B7" s="22" t="n">
        <x:f>IFERROR(AVERAGEIF(FlightLog!B:B,"Moritz",FlightLog!W:W),0)</x:f>
        <x:v>540</x:v>
      </x:c>
      <x:c r="C7" s="22" t="n">
        <x:f>IFERROR(AVERAGEIF(FlightLog!B:B,"Farid",FlightLog!W:W),0)</x:f>
        <x:v>0</x:v>
      </x:c>
      <x:c r="D7" t="str">
        <x:f>IF(B7=C7,"Tie",IF(B7&gt;C7,"Moritz","Farid"))</x:f>
        <x:v>Moritz</x:v>
      </x:c>
    </x:row>
    <x:row r="8">
      <x:c r="A8" t="str">
        <x:v>Avg distance km</x:v>
      </x:c>
      <x:c r="B8" s="22" t="n">
        <x:f>IFERROR(AVERAGEIF(FlightLog!B:B,"Moritz",FlightLog!Z:Z),0)</x:f>
        <x:v>6810</x:v>
      </x:c>
      <x:c r="C8" s="22" t="n">
        <x:f>IFERROR(AVERAGEIF(FlightLog!B:B,"Farid",FlightLog!Z:Z),0)</x:f>
        <x:v>0</x:v>
      </x:c>
      <x:c r="D8" t="str">
        <x:f>IF(B8=C8,"Tie",IF(B8&gt;C8,"Moritz","Farid"))</x:f>
        <x:v>Moritz</x:v>
      </x:c>
    </x:row>
    <x:row r="9">
      <x:c r="B9" s="22"/>
      <x:c r="C9" s="22"/>
    </x:row>
  </x:sheetData>
  <x:mergeCells>
    <x:mergeCell ref="A1:D1"/>
  </x:mergeCells>
  <x:pageMargins left="0.7" right="0.7" top="0.75" bottom="0.75" header="0.3" footer="0.3"/>
</x:worksheet>
</file>